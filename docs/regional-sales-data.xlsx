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gional Sales" sheetId="1" state="visible" r:id="rId3"/>
    <sheet name="Quarterly Analysis" sheetId="2" state="visible" r:id="rId4"/>
    <sheet name="Regional Comparison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<sst xmlns="http://schemas.openxmlformats.org/spreadsheetml/2006/main" count="55" uniqueCount="51">
  <si>
    <t xml:space="preserve">Regional Sales Performance - Fiscal Year 2024</t>
  </si>
  <si>
    <t xml:space="preserve">Midwest HVAC Distribution Company</t>
  </si>
  <si>
    <t xml:space="preserve">Month</t>
  </si>
  <si>
    <t xml:space="preserve">North Region</t>
  </si>
  <si>
    <t xml:space="preserve">South Region</t>
  </si>
  <si>
    <t xml:space="preserve">West Region</t>
  </si>
  <si>
    <t xml:space="preserve">East Region</t>
  </si>
  <si>
    <t xml:space="preserve">Monthly Total</t>
  </si>
  <si>
    <t xml:space="preserve">January</t>
  </si>
  <si>
    <t xml:space="preserve">February</t>
  </si>
  <si>
    <t xml:space="preserve">March</t>
  </si>
  <si>
    <t xml:space="preserve">April</t>
  </si>
  <si>
    <t xml:space="preserve">May</t>
  </si>
  <si>
    <t xml:space="preserve">June</t>
  </si>
  <si>
    <t xml:space="preserve">July</t>
  </si>
  <si>
    <t xml:space="preserve">August</t>
  </si>
  <si>
    <t xml:space="preserve">September</t>
  </si>
  <si>
    <t xml:space="preserve">October</t>
  </si>
  <si>
    <t xml:space="preserve">November</t>
  </si>
  <si>
    <t xml:space="preserve">December</t>
  </si>
  <si>
    <t xml:space="preserve">ANNUAL TOTAL</t>
  </si>
  <si>
    <t xml:space="preserve">Summary Statistics</t>
  </si>
  <si>
    <t xml:space="preserve">Highest Monthly Total:</t>
  </si>
  <si>
    <t xml:space="preserve">Lowest Monthly Total:</t>
  </si>
  <si>
    <t xml:space="preserve">Average Monthly Total:</t>
  </si>
  <si>
    <t xml:space="preserve">Peak Season:</t>
  </si>
  <si>
    <t xml:space="preserve">June - August</t>
  </si>
  <si>
    <t xml:space="preserve">Slow Season:</t>
  </si>
  <si>
    <t xml:space="preserve">November - February</t>
  </si>
  <si>
    <t xml:space="preserve">Quarterly Performance Analysis</t>
  </si>
  <si>
    <t xml:space="preserve">Quarter</t>
  </si>
  <si>
    <t xml:space="preserve">Revenue</t>
  </si>
  <si>
    <t xml:space="preserve">Target</t>
  </si>
  <si>
    <t xml:space="preserve">Variance</t>
  </si>
  <si>
    <t xml:space="preserve">% of Target</t>
  </si>
  <si>
    <t xml:space="preserve">YoY Growth</t>
  </si>
  <si>
    <t xml:space="preserve">Q1 2024</t>
  </si>
  <si>
    <t xml:space="preserve">Q2 2024</t>
  </si>
  <si>
    <t xml:space="preserve">Q3 2024</t>
  </si>
  <si>
    <t xml:space="preserve">Q4 2024</t>
  </si>
  <si>
    <t xml:space="preserve">FY 2024 TOTAL</t>
  </si>
  <si>
    <t xml:space="preserve">Regional Performance Comparison</t>
  </si>
  <si>
    <t xml:space="preserve">Region</t>
  </si>
  <si>
    <t xml:space="preserve">Annual Revenue</t>
  </si>
  <si>
    <t xml:space="preserve">% of Total</t>
  </si>
  <si>
    <t xml:space="preserve">Avg Monthly</t>
  </si>
  <si>
    <t xml:space="preserve">Growth Trend</t>
  </si>
  <si>
    <t xml:space="preserve">↑ Strong</t>
  </si>
  <si>
    <t xml:space="preserve">↑ Steady</t>
  </si>
  <si>
    <t xml:space="preserve">↑ Moderate</t>
  </si>
  <si>
    <t xml:space="preserve">→ Stable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</si>
</sst>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"/>
    <numFmt numFmtId="166" formatCode="\$#,##0;[RED]&quot;($&quot;#,##0\)"/>
    <numFmt numFmtId="167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E3A5F"/>
      <name val="Cambria"/>
      <family val="0"/>
      <charset val="1"/>
    </font>
    <font>
      <i val="true"/>
      <sz val="11"/>
      <color rgb="FF666666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4"/>
      <color rgb="FF1E3A5F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E3A5F"/>
        <bgColor rgb="FF333333"/>
      </patternFill>
    </fill>
    <fill>
      <patternFill patternType="solid">
        <fgColor rgb="FFE8F4E8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E8F4E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E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6" min="2" style="0" width="15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5" hidden="false" customHeight="false" outlineLevel="0" collapsed="false">
      <c r="A5" s="4" t="s">
        <v>8</v>
      </c>
      <c r="B5" s="5" t="n">
        <v>45200</v>
      </c>
      <c r="C5" s="5" t="n">
        <v>32100</v>
      </c>
      <c r="D5" s="5" t="n">
        <v>28400</v>
      </c>
      <c r="E5" s="5" t="n">
        <v>51200</v>
      </c>
      <c r="F5" s="6" t="n">
        <f aca="false">SUM(B5:E5)</f>
        <v>156900</v>
      </c>
    </row>
    <row r="6" customFormat="false" ht="15" hidden="false" customHeight="false" outlineLevel="0" collapsed="false">
      <c r="A6" s="4" t="s">
        <v>9</v>
      </c>
      <c r="B6" s="5" t="n">
        <v>52300</v>
      </c>
      <c r="C6" s="5" t="n">
        <v>35600</v>
      </c>
      <c r="D6" s="5" t="n">
        <v>31200</v>
      </c>
      <c r="E6" s="5" t="n">
        <v>48900</v>
      </c>
      <c r="F6" s="6" t="n">
        <f aca="false">SUM(B6:E6)</f>
        <v>168000</v>
      </c>
    </row>
    <row r="7" customFormat="false" ht="15" hidden="false" customHeight="false" outlineLevel="0" collapsed="false">
      <c r="A7" s="4" t="s">
        <v>10</v>
      </c>
      <c r="B7" s="5" t="n">
        <v>61400</v>
      </c>
      <c r="C7" s="5" t="n">
        <v>41200</v>
      </c>
      <c r="D7" s="5" t="n">
        <v>35800</v>
      </c>
      <c r="E7" s="5" t="n">
        <v>55300</v>
      </c>
      <c r="F7" s="6" t="n">
        <f aca="false">SUM(B7:E7)</f>
        <v>193700</v>
      </c>
    </row>
    <row r="8" customFormat="false" ht="15" hidden="false" customHeight="false" outlineLevel="0" collapsed="false">
      <c r="A8" s="4" t="s">
        <v>11</v>
      </c>
      <c r="B8" s="5" t="n">
        <v>58900</v>
      </c>
      <c r="C8" s="5" t="n">
        <v>44500</v>
      </c>
      <c r="D8" s="5" t="n">
        <v>38200</v>
      </c>
      <c r="E8" s="5" t="n">
        <v>52100</v>
      </c>
      <c r="F8" s="6" t="n">
        <f aca="false">SUM(B8:E8)</f>
        <v>193700</v>
      </c>
    </row>
    <row r="9" customFormat="false" ht="15" hidden="false" customHeight="false" outlineLevel="0" collapsed="false">
      <c r="A9" s="4" t="s">
        <v>12</v>
      </c>
      <c r="B9" s="5" t="n">
        <v>72100</v>
      </c>
      <c r="C9" s="5" t="n">
        <v>52300</v>
      </c>
      <c r="D9" s="5" t="n">
        <v>45600</v>
      </c>
      <c r="E9" s="5" t="n">
        <v>61800</v>
      </c>
      <c r="F9" s="6" t="n">
        <f aca="false">SUM(B9:E9)</f>
        <v>231800</v>
      </c>
    </row>
    <row r="10" customFormat="false" ht="15" hidden="false" customHeight="false" outlineLevel="0" collapsed="false">
      <c r="A10" s="4" t="s">
        <v>13</v>
      </c>
      <c r="B10" s="5" t="n">
        <v>85400</v>
      </c>
      <c r="C10" s="5" t="n">
        <v>61200</v>
      </c>
      <c r="D10" s="5" t="n">
        <v>52100</v>
      </c>
      <c r="E10" s="5" t="n">
        <v>68900</v>
      </c>
      <c r="F10" s="6" t="n">
        <f aca="false">SUM(B10:E10)</f>
        <v>267600</v>
      </c>
    </row>
    <row r="11" customFormat="false" ht="15" hidden="false" customHeight="false" outlineLevel="0" collapsed="false">
      <c r="A11" s="4" t="s">
        <v>14</v>
      </c>
      <c r="B11" s="5" t="n">
        <v>92300</v>
      </c>
      <c r="C11" s="5" t="n">
        <v>68400</v>
      </c>
      <c r="D11" s="5" t="n">
        <v>58900</v>
      </c>
      <c r="E11" s="5" t="n">
        <v>72400</v>
      </c>
      <c r="F11" s="6" t="n">
        <f aca="false">SUM(B11:E11)</f>
        <v>292000</v>
      </c>
    </row>
    <row r="12" customFormat="false" ht="15" hidden="false" customHeight="false" outlineLevel="0" collapsed="false">
      <c r="A12" s="4" t="s">
        <v>15</v>
      </c>
      <c r="B12" s="5" t="n">
        <v>88100</v>
      </c>
      <c r="C12" s="5" t="n">
        <v>65200</v>
      </c>
      <c r="D12" s="5" t="n">
        <v>55400</v>
      </c>
      <c r="E12" s="5" t="n">
        <v>69800</v>
      </c>
      <c r="F12" s="6" t="n">
        <f aca="false">SUM(B12:E12)</f>
        <v>278500</v>
      </c>
    </row>
    <row r="13" customFormat="false" ht="15" hidden="false" customHeight="false" outlineLevel="0" collapsed="false">
      <c r="A13" s="4" t="s">
        <v>16</v>
      </c>
      <c r="B13" s="5" t="n">
        <v>71200</v>
      </c>
      <c r="C13" s="5" t="n">
        <v>54300</v>
      </c>
      <c r="D13" s="5" t="n">
        <v>48200</v>
      </c>
      <c r="E13" s="5" t="n">
        <v>62100</v>
      </c>
      <c r="F13" s="6" t="n">
        <f aca="false">SUM(B13:E13)</f>
        <v>235800</v>
      </c>
    </row>
    <row r="14" customFormat="false" ht="15" hidden="false" customHeight="false" outlineLevel="0" collapsed="false">
      <c r="A14" s="4" t="s">
        <v>17</v>
      </c>
      <c r="B14" s="5" t="n">
        <v>62400</v>
      </c>
      <c r="C14" s="5" t="n">
        <v>47800</v>
      </c>
      <c r="D14" s="5" t="n">
        <v>42100</v>
      </c>
      <c r="E14" s="5" t="n">
        <v>58400</v>
      </c>
      <c r="F14" s="6" t="n">
        <f aca="false">SUM(B14:E14)</f>
        <v>210700</v>
      </c>
    </row>
    <row r="15" customFormat="false" ht="15" hidden="false" customHeight="false" outlineLevel="0" collapsed="false">
      <c r="A15" s="4" t="s">
        <v>18</v>
      </c>
      <c r="B15" s="5" t="n">
        <v>54300</v>
      </c>
      <c r="C15" s="5" t="n">
        <v>41200</v>
      </c>
      <c r="D15" s="5" t="n">
        <v>36800</v>
      </c>
      <c r="E15" s="5" t="n">
        <v>52900</v>
      </c>
      <c r="F15" s="6" t="n">
        <f aca="false">SUM(B15:E15)</f>
        <v>185200</v>
      </c>
    </row>
    <row r="16" customFormat="false" ht="15" hidden="false" customHeight="false" outlineLevel="0" collapsed="false">
      <c r="A16" s="4" t="s">
        <v>19</v>
      </c>
      <c r="B16" s="5" t="n">
        <v>48900</v>
      </c>
      <c r="C16" s="5" t="n">
        <v>35600</v>
      </c>
      <c r="D16" s="5" t="n">
        <v>32400</v>
      </c>
      <c r="E16" s="5" t="n">
        <v>49200</v>
      </c>
      <c r="F16" s="6" t="n">
        <f aca="false">SUM(B16:E16)</f>
        <v>166100</v>
      </c>
    </row>
    <row r="17" customFormat="false" ht="15" hidden="false" customHeight="false" outlineLevel="0" collapsed="false">
      <c r="A17" s="7" t="s">
        <v>20</v>
      </c>
      <c r="B17" s="8" t="n">
        <f aca="false">SUM(B5:B16)</f>
        <v>792500</v>
      </c>
      <c r="C17" s="8" t="n">
        <f aca="false">SUM(C5:C16)</f>
        <v>579400</v>
      </c>
      <c r="D17" s="8" t="n">
        <f aca="false">SUM(D5:D16)</f>
        <v>505100</v>
      </c>
      <c r="E17" s="8" t="n">
        <f aca="false">SUM(E5:E16)</f>
        <v>703000</v>
      </c>
      <c r="F17" s="8" t="n">
        <f aca="false">SUM(F5:F16)</f>
        <v>2580000</v>
      </c>
    </row>
    <row r="19" customFormat="false" ht="17.35" hidden="false" customHeight="false" outlineLevel="0" collapsed="false">
      <c r="A19" s="9" t="s">
        <v>21</v>
      </c>
    </row>
    <row r="21" customFormat="false" ht="15" hidden="false" customHeight="false" outlineLevel="0" collapsed="false">
      <c r="A21" s="0" t="s">
        <v>22</v>
      </c>
      <c r="B21" s="10" t="n">
        <f aca="false">MAX(F5:F16)</f>
        <v>292000</v>
      </c>
    </row>
    <row r="22" customFormat="false" ht="15" hidden="false" customHeight="false" outlineLevel="0" collapsed="false">
      <c r="A22" s="0" t="s">
        <v>23</v>
      </c>
      <c r="B22" s="10" t="n">
        <f aca="false">MIN(F5:F16)</f>
        <v>156900</v>
      </c>
    </row>
    <row r="23" customFormat="false" ht="15" hidden="false" customHeight="false" outlineLevel="0" collapsed="false">
      <c r="A23" s="0" t="s">
        <v>24</v>
      </c>
      <c r="B23" s="10" t="n">
        <f aca="false">AVERAGE(F5:F16)</f>
        <v>215000</v>
      </c>
    </row>
    <row r="24" customFormat="false" ht="15" hidden="false" customHeight="false" outlineLevel="0" collapsed="false">
      <c r="A24" s="0" t="s">
        <v>25</v>
      </c>
      <c r="B24" s="0" t="s">
        <v>26</v>
      </c>
    </row>
    <row r="25" customFormat="false" ht="15" hidden="false" customHeight="false" outlineLevel="0" collapsed="false">
      <c r="A25" s="0" t="s">
        <v>27</v>
      </c>
      <c r="B25" s="0" t="s">
        <v>28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14"/>
  </cols>
  <sheetData>
    <row r="1" customFormat="false" ht="19.7" hidden="false" customHeight="false" outlineLevel="0" collapsed="false">
      <c r="A1" s="1" t="s">
        <v>29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11" t="s">
        <v>30</v>
      </c>
      <c r="B3" s="11" t="s">
        <v>31</v>
      </c>
      <c r="C3" s="11" t="s">
        <v>32</v>
      </c>
      <c r="D3" s="11" t="s">
        <v>33</v>
      </c>
      <c r="E3" s="11" t="s">
        <v>34</v>
      </c>
      <c r="F3" s="11" t="s">
        <v>35</v>
      </c>
    </row>
    <row r="4" customFormat="false" ht="15" hidden="false" customHeight="false" outlineLevel="0" collapsed="false">
      <c r="A4" s="12" t="s">
        <v>36</v>
      </c>
      <c r="B4" s="13" t="n">
        <v>502200</v>
      </c>
      <c r="C4" s="13" t="n">
        <v>480000</v>
      </c>
      <c r="D4" s="14" t="n">
        <f aca="false">B4-C4</f>
        <v>22200</v>
      </c>
      <c r="E4" s="15" t="n">
        <f aca="false">B4/C4</f>
        <v>1.04625</v>
      </c>
      <c r="F4" s="15" t="n">
        <f aca="false">(B4-445000)/445000</f>
        <v>0.128539325842697</v>
      </c>
    </row>
    <row r="5" customFormat="false" ht="15" hidden="false" customHeight="false" outlineLevel="0" collapsed="false">
      <c r="A5" s="12" t="s">
        <v>37</v>
      </c>
      <c r="B5" s="13" t="n">
        <v>643500</v>
      </c>
      <c r="C5" s="13" t="n">
        <v>600000</v>
      </c>
      <c r="D5" s="14" t="n">
        <f aca="false">B5-C5</f>
        <v>43500</v>
      </c>
      <c r="E5" s="15" t="n">
        <f aca="false">B5/C5</f>
        <v>1.0725</v>
      </c>
      <c r="F5" s="15" t="n">
        <f aca="false">(B5-580000)/580000</f>
        <v>0.10948275862069</v>
      </c>
    </row>
    <row r="6" customFormat="false" ht="15" hidden="false" customHeight="false" outlineLevel="0" collapsed="false">
      <c r="A6" s="12" t="s">
        <v>38</v>
      </c>
      <c r="B6" s="13" t="n">
        <v>754800</v>
      </c>
      <c r="C6" s="13" t="n">
        <v>700000</v>
      </c>
      <c r="D6" s="14" t="n">
        <f aca="false">B6-C6</f>
        <v>54800</v>
      </c>
      <c r="E6" s="15" t="n">
        <f aca="false">B6/C6</f>
        <v>1.07828571428571</v>
      </c>
      <c r="F6" s="15" t="n">
        <f aca="false">(B6-695000)/695000</f>
        <v>0.0860431654676259</v>
      </c>
    </row>
    <row r="7" customFormat="false" ht="15" hidden="false" customHeight="false" outlineLevel="0" collapsed="false">
      <c r="A7" s="12" t="s">
        <v>39</v>
      </c>
      <c r="B7" s="13" t="n">
        <v>507300</v>
      </c>
      <c r="C7" s="13" t="n">
        <v>520000</v>
      </c>
      <c r="D7" s="14" t="n">
        <f aca="false">B7-C7</f>
        <v>-12700</v>
      </c>
      <c r="E7" s="15" t="n">
        <f aca="false">B7/C7</f>
        <v>0.975576923076923</v>
      </c>
      <c r="F7" s="15" t="n">
        <f aca="false">(B7-475000)/475000</f>
        <v>0.068</v>
      </c>
    </row>
    <row r="8" customFormat="false" ht="15" hidden="false" customHeight="false" outlineLevel="0" collapsed="false">
      <c r="A8" s="7" t="s">
        <v>40</v>
      </c>
      <c r="B8" s="16" t="n">
        <f aca="false">SUM(B4:B7)</f>
        <v>2407800</v>
      </c>
      <c r="C8" s="16" t="n">
        <f aca="false">SUM(C4:C7)</f>
        <v>2300000</v>
      </c>
      <c r="D8" s="17" t="n">
        <f aca="false">B8-C8</f>
        <v>107800</v>
      </c>
      <c r="E8" s="18" t="n">
        <f aca="false">B8/C8</f>
        <v>1.04686956521739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5" min="2" style="0" width="14"/>
  </cols>
  <sheetData>
    <row r="1" customFormat="false" ht="19.7" hidden="false" customHeight="false" outlineLevel="0" collapsed="false">
      <c r="A1" s="1" t="s">
        <v>41</v>
      </c>
      <c r="B1" s="1"/>
      <c r="C1" s="1"/>
      <c r="D1" s="1"/>
      <c r="E1" s="1"/>
    </row>
    <row r="3" customFormat="false" ht="15" hidden="false" customHeight="false" outlineLevel="0" collapsed="false">
      <c r="A3" s="11" t="s">
        <v>42</v>
      </c>
      <c r="B3" s="11" t="s">
        <v>43</v>
      </c>
      <c r="C3" s="11" t="s">
        <v>44</v>
      </c>
      <c r="D3" s="11" t="s">
        <v>45</v>
      </c>
      <c r="E3" s="11" t="s">
        <v>46</v>
      </c>
    </row>
    <row r="4" customFormat="false" ht="15" hidden="false" customHeight="false" outlineLevel="0" collapsed="false">
      <c r="A4" s="12" t="s">
        <v>3</v>
      </c>
      <c r="B4" s="13" t="n">
        <f aca="false">'Regional Sales'!B17</f>
        <v>792500</v>
      </c>
      <c r="C4" s="15" t="n">
        <f aca="false">B4/SUM($B$4:$B$7)</f>
        <v>0.307170542635659</v>
      </c>
      <c r="D4" s="13" t="n">
        <f aca="false">B4/12</f>
        <v>66041.6666666667</v>
      </c>
      <c r="E4" s="12" t="s">
        <v>47</v>
      </c>
    </row>
    <row r="5" customFormat="false" ht="15" hidden="false" customHeight="false" outlineLevel="0" collapsed="false">
      <c r="A5" s="12" t="s">
        <v>4</v>
      </c>
      <c r="B5" s="13" t="n">
        <f aca="false">'Regional Sales'!C17</f>
        <v>579400</v>
      </c>
      <c r="C5" s="15" t="n">
        <f aca="false">B5/SUM($B$4:$B$7)</f>
        <v>0.224573643410853</v>
      </c>
      <c r="D5" s="13" t="n">
        <f aca="false">B5/12</f>
        <v>48283.3333333333</v>
      </c>
      <c r="E5" s="12" t="s">
        <v>48</v>
      </c>
    </row>
    <row r="6" customFormat="false" ht="15" hidden="false" customHeight="false" outlineLevel="0" collapsed="false">
      <c r="A6" s="12" t="s">
        <v>5</v>
      </c>
      <c r="B6" s="13" t="n">
        <f aca="false">'Regional Sales'!D17</f>
        <v>505100</v>
      </c>
      <c r="C6" s="15" t="n">
        <f aca="false">B6/SUM($B$4:$B$7)</f>
        <v>0.19577519379845</v>
      </c>
      <c r="D6" s="13" t="n">
        <f aca="false">B6/12</f>
        <v>42091.6666666667</v>
      </c>
      <c r="E6" s="12" t="s">
        <v>49</v>
      </c>
    </row>
    <row r="7" customFormat="false" ht="15" hidden="false" customHeight="false" outlineLevel="0" collapsed="false">
      <c r="A7" s="12" t="s">
        <v>6</v>
      </c>
      <c r="B7" s="13" t="n">
        <f aca="false">'Regional Sales'!E17</f>
        <v>703000</v>
      </c>
      <c r="C7" s="15" t="n">
        <f aca="false">B7/SUM($B$4:$B$7)</f>
        <v>0.272480620155039</v>
      </c>
      <c r="D7" s="13" t="n">
        <f aca="false">B7/12</f>
        <v>58583.3333333333</v>
      </c>
      <c r="E7" s="12" t="s">
        <v>50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2026-01-07T19:26:27Z</dcterms:created>
  <dc:creator>openpyxl</dc:creator>
  <dc:description/>
  <dc:language>en-US</dc:language>
  <cp:lastModifiedBy/>
  <dcterms:modified xsi:type="dcterms:W3CDTF">2026-01-07T19:26:27Z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